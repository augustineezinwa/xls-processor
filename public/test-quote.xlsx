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 001" state="visible" r:id="rId4"/>
    <sheet sheetId="2" name="Labour" state="visible" r:id="rId5"/>
  </sheets>
  <calcPr calcId="171027"/>
</workbook>
</file>

<file path=xl/sharedStrings.xml><?xml version="1.0" encoding="utf-8"?>
<sst xmlns="http://schemas.openxmlformats.org/spreadsheetml/2006/main" count="31" uniqueCount="31">
  <si>
    <t>MATERIALS QUOTATION - PROJECT ALPHA</t>
  </si>
  <si>
    <t>#</t>
  </si>
  <si>
    <t>Description</t>
  </si>
  <si>
    <t>Qty</t>
  </si>
  <si>
    <t>Unit Price</t>
  </si>
  <si>
    <t>Total</t>
  </si>
  <si>
    <t>Structural Steel Beams (Grade 50)</t>
  </si>
  <si>
    <t>Reinforced Concrete Mix (per m³)</t>
  </si>
  <si>
    <t>Galvanized Roofing Sheets 0.5mm</t>
  </si>
  <si>
    <t>PVC Conduit Pipes (20mm, per m)</t>
  </si>
  <si>
    <t>Electrical Cable 6mm² (per m)</t>
  </si>
  <si>
    <t>Distribution Board 12-way</t>
  </si>
  <si>
    <t>LED Floodlights 100W</t>
  </si>
  <si>
    <t>Water Supply Pipes HDPE 50mm (per m)</t>
  </si>
  <si>
    <t>Ceramic Floor Tiles 600x600mm (per m²)</t>
  </si>
  <si>
    <t>Subtotal Materials</t>
  </si>
  <si>
    <t>VAT (15%)</t>
  </si>
  <si>
    <t>Discount (5%)</t>
  </si>
  <si>
    <t>GRAND TOTAL</t>
  </si>
  <si>
    <t>Task</t>
  </si>
  <si>
    <t>Days</t>
  </si>
  <si>
    <t>Rate/Day</t>
  </si>
  <si>
    <t>Cost</t>
  </si>
  <si>
    <t>Site Preparation &amp; Excavation</t>
  </si>
  <si>
    <t>Foundation &amp; Concrete Works</t>
  </si>
  <si>
    <t>Steel Structure Erection</t>
  </si>
  <si>
    <t>Roofing Installation</t>
  </si>
  <si>
    <t>Electrical Wiring &amp; Fixtures</t>
  </si>
  <si>
    <t>Plumbing &amp; Drainage</t>
  </si>
  <si>
    <t>Tiling &amp; Finishing</t>
  </si>
  <si>
    <t>Total Labour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</si>
</sst>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3"/>
    </font>
    <font>
      <b/>
      <color rgb="FFFFFFFF"/>
      <sz val="10"/>
    </font>
    <font>
      <b/>
    </font>
    <font>
      <b/>
      <sz val="10"/>
    </font>
    <font>
      <b/>
      <sz val="11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B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4" fontId="0" fillId="3" borderId="0" xfId="0" applyNumberFormat="1" applyFill="1"/>
    <xf numFmtId="4" fontId="0" fillId="0" borderId="0" xfId="0" applyNumberFormat="1"/>
    <xf numFmtId="0" fontId="3" fillId="0" borderId="0" xfId="0" applyFont="1"/>
    <xf numFmtId="4" fontId="4" fillId="4" borderId="2" xfId="0" applyNumberFormat="1" applyFont="1" applyFill="1" applyBorder="1"/>
    <xf numFmtId="0" fontId="5" fillId="0" borderId="0" xfId="0" applyFont="1"/>
    <xf numFmtId="4" fontId="6" fillId="2" borderId="0" xfId="0" applyNumberFormat="1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6" customWidth="1"/>
    <col min="2" max="2" width="32" customWidth="1"/>
    <col min="3" max="3" width="8" customWidth="1"/>
    <col min="4" max="4" width="12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18" customHeight="1" spans="1:5" x14ac:dyDescent="0.25">
      <c r="A4" s="3">
        <v>1</v>
      </c>
      <c r="B4" s="3" t="s">
        <v>6</v>
      </c>
      <c r="C4" s="3">
        <v>12</v>
      </c>
      <c r="D4" s="4">
        <v>485</v>
      </c>
      <c r="E4" s="4">
        <f>C4*D4</f>
        <v>5820</v>
      </c>
    </row>
    <row r="5" ht="18" customHeight="1" spans="1:5" x14ac:dyDescent="0.25">
      <c r="A5">
        <v>2</v>
      </c>
      <c r="B5" t="s">
        <v>7</v>
      </c>
      <c r="C5">
        <v>8</v>
      </c>
      <c r="D5" s="5">
        <v>210.5</v>
      </c>
      <c r="E5" s="5">
        <f>C5*D5</f>
        <v>1684</v>
      </c>
    </row>
    <row r="6" ht="18" customHeight="1" spans="1:5" x14ac:dyDescent="0.25">
      <c r="A6" s="3">
        <v>3</v>
      </c>
      <c r="B6" s="3" t="s">
        <v>8</v>
      </c>
      <c r="C6" s="3">
        <v>45</v>
      </c>
      <c r="D6" s="4">
        <v>32.75</v>
      </c>
      <c r="E6" s="4">
        <f>C6*D6</f>
        <v>1473.75</v>
      </c>
    </row>
    <row r="7" ht="18" customHeight="1" spans="1:5" x14ac:dyDescent="0.25">
      <c r="A7">
        <v>4</v>
      </c>
      <c r="B7" t="s">
        <v>9</v>
      </c>
      <c r="C7">
        <v>200</v>
      </c>
      <c r="D7" s="5">
        <v>1.8</v>
      </c>
      <c r="E7" s="5">
        <f>C7*D7</f>
        <v>360</v>
      </c>
    </row>
    <row r="8" ht="18" customHeight="1" spans="1:5" x14ac:dyDescent="0.25">
      <c r="A8" s="3">
        <v>5</v>
      </c>
      <c r="B8" s="3" t="s">
        <v>10</v>
      </c>
      <c r="C8" s="3">
        <v>350</v>
      </c>
      <c r="D8" s="4">
        <v>3.4</v>
      </c>
      <c r="E8" s="4">
        <f>C8*D8</f>
        <v>1190</v>
      </c>
    </row>
    <row r="9" ht="18" customHeight="1" spans="1:5" x14ac:dyDescent="0.25">
      <c r="A9">
        <v>6</v>
      </c>
      <c r="B9" t="s">
        <v>11</v>
      </c>
      <c r="C9">
        <v>2</v>
      </c>
      <c r="D9" s="5">
        <v>890</v>
      </c>
      <c r="E9" s="5">
        <f>C9*D9</f>
        <v>1780</v>
      </c>
    </row>
    <row r="10" ht="18" customHeight="1" spans="1:5" x14ac:dyDescent="0.25">
      <c r="A10" s="3">
        <v>7</v>
      </c>
      <c r="B10" s="3" t="s">
        <v>12</v>
      </c>
      <c r="C10" s="3">
        <v>8</v>
      </c>
      <c r="D10" s="4">
        <v>125</v>
      </c>
      <c r="E10" s="4">
        <f>C10*D10</f>
        <v>1000</v>
      </c>
    </row>
    <row r="11" ht="18" customHeight="1" spans="1:5" x14ac:dyDescent="0.25">
      <c r="A11">
        <v>8</v>
      </c>
      <c r="B11" t="s">
        <v>13</v>
      </c>
      <c r="C11">
        <v>80</v>
      </c>
      <c r="D11" s="5">
        <v>12.5</v>
      </c>
      <c r="E11" s="5">
        <f>C11*D11</f>
        <v>1000</v>
      </c>
    </row>
    <row r="12" ht="18" customHeight="1" spans="1:5" x14ac:dyDescent="0.25">
      <c r="A12" s="3">
        <v>9</v>
      </c>
      <c r="B12" s="3" t="s">
        <v>14</v>
      </c>
      <c r="C12" s="3">
        <v>120</v>
      </c>
      <c r="D12" s="4">
        <v>28</v>
      </c>
      <c r="E12" s="4">
        <f>C12*D12</f>
        <v>3360</v>
      </c>
    </row>
    <row r="14" spans="1:5" x14ac:dyDescent="0.25">
      <c r="B14" s="6" t="s">
        <v>15</v>
      </c>
      <c r="E14" s="7">
        <f>SUM(E4:E12)</f>
        <v>17667.75</v>
      </c>
    </row>
    <row r="15" spans="1:5" x14ac:dyDescent="0.25">
      <c r="B15" s="6" t="s">
        <v>16</v>
      </c>
      <c r="E15" s="5">
        <f>E14*0.15</f>
      </c>
    </row>
    <row r="16" spans="1:5" x14ac:dyDescent="0.25">
      <c r="B16" s="6" t="s">
        <v>17</v>
      </c>
      <c r="E16" s="5">
        <f>E14*-0.05</f>
      </c>
    </row>
    <row r="17" spans="1:5" x14ac:dyDescent="0.25">
      <c r="B17" s="8" t="s">
        <v>18</v>
      </c>
      <c r="E17" s="9">
        <f>E14+E15+E16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0" customWidth="1"/>
    <col min="2" max="2" width="10" customWidth="1"/>
    <col min="3" max="3" width="12" customWidth="1"/>
    <col min="4" max="4" width="14" customWidth="1"/>
  </cols>
  <sheetData>
    <row r="1" spans="1:4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25">
      <c r="A2" t="s">
        <v>23</v>
      </c>
      <c r="B2">
        <v>3</v>
      </c>
      <c r="C2" s="5">
        <v>850</v>
      </c>
      <c r="D2" s="5">
        <f>B2*C2</f>
        <v>2550</v>
      </c>
    </row>
    <row r="3" spans="1:4" x14ac:dyDescent="0.25">
      <c r="A3" t="s">
        <v>24</v>
      </c>
      <c r="B3">
        <v>5</v>
      </c>
      <c r="C3" s="5">
        <v>1200</v>
      </c>
      <c r="D3" s="5">
        <f>B3*C3</f>
        <v>6000</v>
      </c>
    </row>
    <row r="4" spans="1:4" x14ac:dyDescent="0.25">
      <c r="A4" t="s">
        <v>25</v>
      </c>
      <c r="B4">
        <v>4</v>
      </c>
      <c r="C4" s="5">
        <v>950</v>
      </c>
      <c r="D4" s="5">
        <f>B4*C4</f>
        <v>3800</v>
      </c>
    </row>
    <row r="5" spans="1:4" x14ac:dyDescent="0.25">
      <c r="A5" t="s">
        <v>26</v>
      </c>
      <c r="B5">
        <v>3</v>
      </c>
      <c r="C5" s="5">
        <v>750</v>
      </c>
      <c r="D5" s="5">
        <f>B5*C5</f>
        <v>2250</v>
      </c>
    </row>
    <row r="6" spans="1:4" x14ac:dyDescent="0.25">
      <c r="A6" t="s">
        <v>27</v>
      </c>
      <c r="B6">
        <v>4</v>
      </c>
      <c r="C6" s="5">
        <v>680</v>
      </c>
      <c r="D6" s="5">
        <f>B6*C6</f>
        <v>2720</v>
      </c>
    </row>
    <row r="7" spans="1:4" x14ac:dyDescent="0.25">
      <c r="A7" t="s">
        <v>28</v>
      </c>
      <c r="B7">
        <v>3</v>
      </c>
      <c r="C7" s="5">
        <v>620</v>
      </c>
      <c r="D7" s="5">
        <f>B7*C7</f>
        <v>1860</v>
      </c>
    </row>
    <row r="8" spans="1:4" x14ac:dyDescent="0.25">
      <c r="A8" t="s">
        <v>29</v>
      </c>
      <c r="B8">
        <v>5</v>
      </c>
      <c r="C8" s="5">
        <v>520</v>
      </c>
      <c r="D8" s="5">
        <f>B8*C8</f>
        <v>2600</v>
      </c>
    </row>
    <row r="10" spans="1:4" x14ac:dyDescent="0.25">
      <c r="A10" s="6" t="s">
        <v>30</v>
      </c>
      <c r="D10" s="10">
        <f>SUM(D2:D8)</f>
        <v>21780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 001</vt:lpstr>
      <vt:lpstr>Labour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2026-04-07T01:11:18Z</dcterms:created>
  <dcterms:modified xsi:type="dcterms:W3CDTF">2026-04-07T01:11:18Z</dcterms:modified>
</cp:coreProperties>
</file>